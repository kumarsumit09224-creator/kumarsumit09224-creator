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 Data" sheetId="1" r:id="rId4"/>
    <sheet state="visible" name="Dashboard" sheetId="2" r:id="rId5"/>
  </sheets>
  <definedNames>
    <definedName hidden="1" localSheetId="0" name="_xlnm._FilterDatabase">'Sales Data'!$A$1:$F$21</definedName>
  </definedNames>
  <calcPr/>
</workbook>
</file>

<file path=xl/sharedStrings.xml><?xml version="1.0" encoding="utf-8"?>
<sst xmlns="http://schemas.openxmlformats.org/spreadsheetml/2006/main" count="63" uniqueCount="24">
  <si>
    <t>Order Date</t>
  </si>
  <si>
    <t>Product</t>
  </si>
  <si>
    <t>Region</t>
  </si>
  <si>
    <t>Quantity</t>
  </si>
  <si>
    <t>Sales</t>
  </si>
  <si>
    <t>Profit</t>
  </si>
  <si>
    <t>Laptop</t>
  </si>
  <si>
    <t>North</t>
  </si>
  <si>
    <t>Mouse</t>
  </si>
  <si>
    <t>South</t>
  </si>
  <si>
    <t>Keyboard</t>
  </si>
  <si>
    <t>East</t>
  </si>
  <si>
    <t>Monitor</t>
  </si>
  <si>
    <t>West</t>
  </si>
  <si>
    <t>SALES DASHBOARD | SAMPLE DATA</t>
  </si>
  <si>
    <t>Total Sales</t>
  </si>
  <si>
    <t>Total Profit</t>
  </si>
  <si>
    <t>Total Quantity</t>
  </si>
  <si>
    <t>Month</t>
  </si>
  <si>
    <t>Jan</t>
  </si>
  <si>
    <t>Feb</t>
  </si>
  <si>
    <t>Mar</t>
  </si>
  <si>
    <t>Apr</t>
  </si>
  <si>
    <t>May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</si>
</sst>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m-yyyy"/>
    <numFmt numFmtId="165" formatCode="₹#,##0"/>
  </numFmts>
  <fonts count="5">
    <font>
      <sz val="11.0"/>
      <color/>
      <name val="Arial"/>
      <scheme val="minor"/>
    </font>
    <font>
      <b/>
      <color rgb="FFFFFFFF"/>
    </font>
    <font>
      <sz val="11.0"/>
      <color/>
      <name val="Calibri"/>
    </font>
    <font/>
    <font>
      <b/>
      <sz val="16.0"/>
      <color rgb="FFFFFFFF"/>
    </font>
  </fonts>
  <fills count="5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4472C4"/>
        <bgColor rgb="FF4472C4"/>
      </patternFill>
    </fill>
    <fill>
      <patternFill patternType="solid">
        <fgColor rgb="FF5B9BD5"/>
        <bgColor rgb="FF5B9BD5"/>
      </patternFill>
    </fill>
  </fills>
  <borders count="5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0" fillId="0" fontId="2" numFmtId="164" xfId="0" applyFont="1" applyNumberFormat="1"/>
    <xf borderId="0" fillId="0" fontId="2" numFmtId="165" xfId="0" applyFont="1" applyNumberFormat="1"/>
    <xf borderId="0" fillId="0" fontId="3" numFmtId="0" xfId="0" applyAlignment="1" applyFont="1">
      <alignment readingOrder="0"/>
    </xf>
    <xf borderId="2" fillId="2" fontId="4" numFmtId="0" xfId="0" applyBorder="1" applyFill="1" applyFont="1"/>
    <xf borderId="3" fillId="0" fontId="3" numFmtId="0" xfId="0" applyBorder="1" applyFont="1"/>
    <xf borderId="4" fillId="0" fontId="3" numFmtId="0" xfId="0" applyBorder="1" applyFont="1"/>
    <xf borderId="1" fillId="3" fontId="1" numFmtId="0" xfId="0" applyAlignment="1" applyBorder="1" applyFill="1" applyFont="1">
      <alignment horizontal="center"/>
    </xf>
    <xf borderId="1" fillId="3" fontId="1" numFmtId="165" xfId="0" applyAlignment="1" applyBorder="1" applyFill="1" applyFont="1" applyNumberFormat="1">
      <alignment horizontal="center"/>
    </xf>
    <xf borderId="1" fillId="3" fontId="1" numFmtId="3" xfId="0" applyAlignment="1" applyBorder="1" applyFill="1" applyFont="1" applyNumberFormat="1">
      <alignment horizontal="center"/>
    </xf>
    <xf borderId="1" fillId="4" fontId="1" numFmtId="0" xfId="0" applyBorder="1" applyFill="1" applyFont="1"/>
    <xf borderId="1" fillId="4" fontId="1" numFmtId="165" xfId="0" applyBorder="1" applyFill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Sales by Region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Dashboard!$E$6</c:f>
            </c:strRef>
          </c:tx>
          <c:spPr>
            <a:solidFill>
              <a:srgbClr val="4285F4"/>
            </a:solidFill>
            <a:ln cmpd="sng">
              <a:noFill/>
            </a:ln>
          </c:spPr>
          <c:cat>
            <c:strRef>
              <c:f>Dashboard!$D$7:$D$10</c:f>
            </c:strRef>
          </c:cat>
          <c:val>
            <c:numRef>
              <c:f>Dashboard!$E$7:$E$10</c:f>
              <c:numCache/>
            </c:numRef>
          </c:val>
        </c:ser>
        <c:axId val="115673293"/>
        <c:axId val="696822059"/>
      </c:barChart>
      <c:catAx>
        <c:axId val="1156732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6822059"/>
      </c:catAx>
      <c:valAx>
        <c:axId val="6968220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Sales (₹)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67329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Monthly Sales Trend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Dashboard!$B$6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Dashboard!$A$7:$A$11</c:f>
            </c:strRef>
          </c:cat>
          <c:val>
            <c:numRef>
              <c:f>Dashboard!$B$7:$B$11</c:f>
              <c:numCache/>
            </c:numRef>
          </c:val>
          <c:smooth val="0"/>
        </c:ser>
        <c:axId val="124513514"/>
        <c:axId val="826247363"/>
      </c:lineChart>
      <c:catAx>
        <c:axId val="1245135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26247363"/>
      </c:catAx>
      <c:valAx>
        <c:axId val="8262473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Sales (₹)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451351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13</xdr:row>
      <xdr:rowOff>0</xdr:rowOff>
    </xdr:from>
    <xdr:ext cx="4314825" cy="25146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0</xdr:colOff>
      <xdr:row>13</xdr:row>
      <xdr:rowOff>0</xdr:rowOff>
    </xdr:from>
    <xdr:ext cx="4314825" cy="251460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6.0"/>
    <col customWidth="1" min="3" max="3" width="14.0"/>
    <col customWidth="1" min="4" max="4" width="12.0"/>
    <col customWidth="1" min="5" max="6" width="14.0"/>
    <col customWidth="1" min="7" max="11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46023.0</v>
      </c>
      <c r="B2" t="s">
        <v>6</v>
      </c>
      <c r="C2" t="s">
        <v>7</v>
      </c>
      <c r="D2">
        <v>2.0</v>
      </c>
      <c r="E2" s="3">
        <v>80000.0</v>
      </c>
      <c r="F2" s="3">
        <v>12000.0</v>
      </c>
    </row>
    <row r="3">
      <c r="A3" s="2">
        <v>46025.0</v>
      </c>
      <c r="B3" t="s">
        <v>8</v>
      </c>
      <c r="C3" t="s">
        <v>9</v>
      </c>
      <c r="D3">
        <v>5.0</v>
      </c>
      <c r="E3" s="3">
        <v>2500.0</v>
      </c>
      <c r="F3" s="3">
        <v>500.0</v>
      </c>
    </row>
    <row r="4">
      <c r="A4" s="2">
        <v>46027.0</v>
      </c>
      <c r="B4" t="s">
        <v>10</v>
      </c>
      <c r="C4" t="s">
        <v>11</v>
      </c>
      <c r="D4">
        <v>3.0</v>
      </c>
      <c r="E4" s="3">
        <v>4500.0</v>
      </c>
      <c r="F4" s="3">
        <v>900.0</v>
      </c>
    </row>
    <row r="5">
      <c r="A5" s="2">
        <v>46030.0</v>
      </c>
      <c r="B5" t="s">
        <v>12</v>
      </c>
      <c r="C5" t="s">
        <v>13</v>
      </c>
      <c r="D5">
        <v>2.0</v>
      </c>
      <c r="E5" s="3">
        <v>24000.0</v>
      </c>
      <c r="F5" s="3">
        <v>4000.0</v>
      </c>
    </row>
    <row r="6">
      <c r="A6" s="2">
        <v>46034.0</v>
      </c>
      <c r="B6" t="s">
        <v>6</v>
      </c>
      <c r="C6" t="s">
        <v>11</v>
      </c>
      <c r="D6">
        <v>1.0</v>
      </c>
      <c r="E6" s="3">
        <v>40000.0</v>
      </c>
      <c r="F6" s="3">
        <v>6000.0</v>
      </c>
    </row>
    <row r="7">
      <c r="A7" s="2">
        <v>46055.0</v>
      </c>
      <c r="B7" t="s">
        <v>8</v>
      </c>
      <c r="C7" t="s">
        <v>7</v>
      </c>
      <c r="D7">
        <v>10.0</v>
      </c>
      <c r="E7" s="3">
        <v>5000.0</v>
      </c>
      <c r="F7" s="3">
        <v>1000.0</v>
      </c>
    </row>
    <row r="8">
      <c r="A8" s="2">
        <v>46060.0</v>
      </c>
      <c r="B8" t="s">
        <v>12</v>
      </c>
      <c r="C8" t="s">
        <v>9</v>
      </c>
      <c r="D8">
        <v>3.0</v>
      </c>
      <c r="E8" s="3">
        <v>36000.0</v>
      </c>
      <c r="F8" s="3">
        <v>6000.0</v>
      </c>
    </row>
    <row r="9">
      <c r="A9" s="2">
        <v>46067.0</v>
      </c>
      <c r="B9" t="s">
        <v>10</v>
      </c>
      <c r="C9" t="s">
        <v>13</v>
      </c>
      <c r="D9">
        <v>6.0</v>
      </c>
      <c r="E9" s="3">
        <v>9000.0</v>
      </c>
      <c r="F9" s="3">
        <v>1800.0</v>
      </c>
    </row>
    <row r="10">
      <c r="A10" s="2">
        <v>46085.0</v>
      </c>
      <c r="B10" t="s">
        <v>6</v>
      </c>
      <c r="C10" t="s">
        <v>13</v>
      </c>
      <c r="D10">
        <v>2.0</v>
      </c>
      <c r="E10" s="3">
        <v>80000.0</v>
      </c>
      <c r="F10" s="3">
        <v>12000.0</v>
      </c>
    </row>
    <row r="11">
      <c r="A11" s="2">
        <v>46090.0</v>
      </c>
      <c r="B11" t="s">
        <v>8</v>
      </c>
      <c r="C11" t="s">
        <v>11</v>
      </c>
      <c r="D11">
        <v>8.0</v>
      </c>
      <c r="E11" s="3">
        <v>4000.0</v>
      </c>
      <c r="F11" s="3">
        <v>800.0</v>
      </c>
    </row>
    <row r="12">
      <c r="A12" s="2">
        <v>46097.0</v>
      </c>
      <c r="B12" t="s">
        <v>12</v>
      </c>
      <c r="C12" t="s">
        <v>7</v>
      </c>
      <c r="D12">
        <v>1.0</v>
      </c>
      <c r="E12" s="3">
        <v>12000.0</v>
      </c>
      <c r="F12" s="3">
        <v>2000.0</v>
      </c>
    </row>
    <row r="13">
      <c r="A13" s="2">
        <v>46101.0</v>
      </c>
      <c r="B13" t="s">
        <v>10</v>
      </c>
      <c r="C13" t="s">
        <v>9</v>
      </c>
      <c r="D13">
        <v>4.0</v>
      </c>
      <c r="E13" s="3">
        <v>6000.0</v>
      </c>
      <c r="F13" s="3">
        <v>1200.0</v>
      </c>
    </row>
    <row r="14">
      <c r="A14" s="2">
        <v>46115.0</v>
      </c>
      <c r="B14" t="s">
        <v>6</v>
      </c>
      <c r="C14" t="s">
        <v>9</v>
      </c>
      <c r="D14">
        <v>1.0</v>
      </c>
      <c r="E14" s="3">
        <v>40000.0</v>
      </c>
      <c r="F14" s="3">
        <v>6000.0</v>
      </c>
    </row>
    <row r="15">
      <c r="A15" s="2">
        <v>46120.0</v>
      </c>
      <c r="B15" t="s">
        <v>8</v>
      </c>
      <c r="C15" t="s">
        <v>13</v>
      </c>
      <c r="D15">
        <v>12.0</v>
      </c>
      <c r="E15" s="3">
        <v>6000.0</v>
      </c>
      <c r="F15" s="3">
        <v>1200.0</v>
      </c>
    </row>
    <row r="16">
      <c r="A16" s="2">
        <v>46125.0</v>
      </c>
      <c r="B16" t="s">
        <v>12</v>
      </c>
      <c r="C16" t="s">
        <v>11</v>
      </c>
      <c r="D16">
        <v>2.0</v>
      </c>
      <c r="E16" s="3">
        <v>24000.0</v>
      </c>
      <c r="F16" s="3">
        <v>4000.0</v>
      </c>
    </row>
    <row r="17">
      <c r="A17" s="2">
        <v>46134.0</v>
      </c>
      <c r="B17" t="s">
        <v>10</v>
      </c>
      <c r="C17" t="s">
        <v>7</v>
      </c>
      <c r="D17">
        <v>5.0</v>
      </c>
      <c r="E17" s="3">
        <v>7500.0</v>
      </c>
      <c r="F17" s="3">
        <v>1500.0</v>
      </c>
    </row>
    <row r="18">
      <c r="A18" s="2">
        <v>46143.0</v>
      </c>
      <c r="B18" t="s">
        <v>6</v>
      </c>
      <c r="C18" t="s">
        <v>7</v>
      </c>
      <c r="D18">
        <v>1.0</v>
      </c>
      <c r="E18" s="3">
        <v>40000.0</v>
      </c>
      <c r="F18" s="3">
        <v>6000.0</v>
      </c>
    </row>
    <row r="19">
      <c r="A19" s="2">
        <v>46153.0</v>
      </c>
      <c r="B19" t="s">
        <v>8</v>
      </c>
      <c r="C19" t="s">
        <v>9</v>
      </c>
      <c r="D19">
        <v>7.0</v>
      </c>
      <c r="E19" s="3">
        <v>3500.0</v>
      </c>
      <c r="F19" s="3">
        <v>700.0</v>
      </c>
    </row>
    <row r="20">
      <c r="A20" s="2">
        <v>46161.0</v>
      </c>
      <c r="B20" t="s">
        <v>12</v>
      </c>
      <c r="C20" t="s">
        <v>13</v>
      </c>
      <c r="D20">
        <v>4.0</v>
      </c>
      <c r="E20" s="3">
        <v>48000.0</v>
      </c>
      <c r="F20" s="3">
        <v>8000.0</v>
      </c>
    </row>
    <row r="21" ht="15.75" customHeight="1">
      <c r="A21" s="2">
        <v>46167.0</v>
      </c>
      <c r="B21" t="s">
        <v>10</v>
      </c>
      <c r="C21" t="s">
        <v>11</v>
      </c>
      <c r="D21">
        <v>3.0</v>
      </c>
      <c r="E21" s="3">
        <v>4500.0</v>
      </c>
      <c r="F21" s="3">
        <v>900.0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>
      <c r="E45" s="4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autoFilter ref="$A$1:$F$21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16.0"/>
    <col customWidth="1" min="3" max="3" width="4.0"/>
    <col customWidth="1" min="4" max="4" width="18.0"/>
    <col customWidth="1" min="5" max="5" width="16.0"/>
    <col customWidth="1" min="6" max="6" width="18.0"/>
    <col customWidth="1" min="7" max="11" width="8.71"/>
  </cols>
  <sheetData>
    <row r="1">
      <c r="A1" s="5" t="s">
        <v>14</v>
      </c>
      <c r="B1" s="6"/>
      <c r="C1" s="6"/>
      <c r="D1" s="6"/>
      <c r="E1" s="6"/>
      <c r="F1" s="7"/>
    </row>
    <row r="3">
      <c r="A3" s="8" t="s">
        <v>15</v>
      </c>
      <c r="B3" s="9" t="str">
        <f>SUM('Sales Data'!E2:E21)</f>
        <v>₹476,500</v>
      </c>
      <c r="C3" s="8" t="s">
        <v>16</v>
      </c>
      <c r="D3" s="9" t="str">
        <f>SUM('Sales Data'!F2:F21)</f>
        <v>₹76,500</v>
      </c>
      <c r="E3" s="8" t="s">
        <v>17</v>
      </c>
      <c r="F3" s="10" t="str">
        <f>SUM('Sales Data'!D2:D21)</f>
        <v>82</v>
      </c>
    </row>
    <row r="6">
      <c r="A6" s="11" t="s">
        <v>18</v>
      </c>
      <c r="B6" s="11" t="s">
        <v>4</v>
      </c>
      <c r="D6" s="11" t="s">
        <v>2</v>
      </c>
      <c r="E6" s="11" t="s">
        <v>4</v>
      </c>
    </row>
    <row r="7">
      <c r="A7" s="11" t="s">
        <v>19</v>
      </c>
      <c r="B7" s="12" t="str">
        <f>SUMIFS('Sales Data'!$E$2:$E$21,'Sales Data'!$A$2:$A$21,"&gt;="&amp;DATE(2026,1,1),'Sales Data'!$A$2:$A$21,"&lt;"&amp;DATE(2026,2,1))</f>
        <v>₹151,000</v>
      </c>
      <c r="D7" s="11" t="s">
        <v>7</v>
      </c>
      <c r="E7" s="12" t="str">
        <f>SUMIF('Sales Data'!$C$2:$C$21,D7,'Sales Data'!$E$2:$E$21)</f>
        <v>₹144,500</v>
      </c>
    </row>
    <row r="8">
      <c r="A8" s="11" t="s">
        <v>20</v>
      </c>
      <c r="B8" s="12" t="str">
        <f>SUMIFS('Sales Data'!$E$2:$E$21,'Sales Data'!$A$2:$A$21,"&gt;="&amp;DATE(2026,2,1),'Sales Data'!$A$2:$A$21,"&lt;"&amp;DATE(2026,3,1))</f>
        <v>₹50,000</v>
      </c>
      <c r="D8" s="11" t="s">
        <v>9</v>
      </c>
      <c r="E8" s="12" t="str">
        <f>SUMIF('Sales Data'!$C$2:$C$21,D8,'Sales Data'!$E$2:$E$21)</f>
        <v>₹88,000</v>
      </c>
    </row>
    <row r="9">
      <c r="A9" s="11" t="s">
        <v>21</v>
      </c>
      <c r="B9" s="12" t="str">
        <f>SUMIFS('Sales Data'!$E$2:$E$21,'Sales Data'!$A$2:$A$21,"&gt;="&amp;DATE(2026,3,1),'Sales Data'!$A$2:$A$21,"&lt;"&amp;DATE(2026,4,1))</f>
        <v>₹102,000</v>
      </c>
      <c r="D9" s="11" t="s">
        <v>11</v>
      </c>
      <c r="E9" s="12" t="str">
        <f>SUMIF('Sales Data'!$C$2:$C$21,D9,'Sales Data'!$E$2:$E$21)</f>
        <v>₹77,000</v>
      </c>
    </row>
    <row r="10">
      <c r="A10" s="11" t="s">
        <v>22</v>
      </c>
      <c r="B10" s="12" t="str">
        <f>SUMIFS('Sales Data'!$E$2:$E$21,'Sales Data'!$A$2:$A$21,"&gt;="&amp;DATE(2026,4,1),'Sales Data'!$A$2:$A$21,"&lt;"&amp;DATE(2026,5,1))</f>
        <v>₹77,500</v>
      </c>
      <c r="D10" s="11" t="s">
        <v>13</v>
      </c>
      <c r="E10" s="12" t="str">
        <f>SUMIF('Sales Data'!$C$2:$C$21,D10,'Sales Data'!$E$2:$E$21)</f>
        <v>₹167,000</v>
      </c>
    </row>
    <row r="11">
      <c r="A11" t="s">
        <v>23</v>
      </c>
      <c r="B11" s="3" t="str">
        <f>SUMIFS('Sales Data'!$E$2:$E$21,'Sales Data'!$A$2:$A$21,"&gt;="&amp;DATE(2026,5,1),'Sales Data'!$A$2:$A$21,"&lt;"&amp;DATE(2026,6,1))</f>
        <v>₹96,000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2026-10-11T06:35:42Z</dcterms:created>
  <dc:creator>openpyxl</dc:creator>
  <dcterms:modified xsi:type="dcterms:W3CDTF">2026-10-11T06:35:42Z</dcterms:modified>
</cp:coreProperties>
</file>